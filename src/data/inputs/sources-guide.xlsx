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mera-my.sharepoint.com/personal/rory_perkins_timera-energy_com/Documents/Documents/GitHub/gas-demand/src/data/inputs/"/>
    </mc:Choice>
  </mc:AlternateContent>
  <xr:revisionPtr revIDLastSave="25" documentId="13_ncr:1_{C957E779-BB76-6844-A944-C09093A3610B}" xr6:coauthVersionLast="47" xr6:coauthVersionMax="47" xr10:uidLastSave="{A00EE651-2940-49E8-8F9D-6BD372A95A4F}"/>
  <bookViews>
    <workbookView xWindow="28680" yWindow="-120" windowWidth="29040" windowHeight="15720" xr2:uid="{8D505957-1A62-5F40-9BA7-A9611DA49F6F}"/>
  </bookViews>
  <sheets>
    <sheet name="Sheet1" sheetId="1" r:id="rId1"/>
    <sheet name="Sheet2" sheetId="2" r:id="rId2"/>
  </sheets>
  <definedNames>
    <definedName name="_xlnm._FilterDatabase" localSheetId="0" hidden="1">Sheet1!$A$1:$J$29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2" i="1"/>
  <c r="D34" i="1" l="1"/>
  <c r="D35" i="1"/>
  <c r="D36" i="1"/>
  <c r="D37" i="1"/>
  <c r="D38" i="1"/>
  <c r="D39" i="1"/>
  <c r="D40" i="1"/>
  <c r="D41" i="1"/>
  <c r="D42" i="1"/>
  <c r="D43" i="1"/>
  <c r="D44" i="1"/>
  <c r="D45" i="1"/>
  <c r="D46" i="1"/>
  <c r="D33" i="1"/>
</calcChain>
</file>

<file path=xl/sharedStrings.xml><?xml version="1.0" encoding="utf-8"?>
<sst xmlns="http://schemas.openxmlformats.org/spreadsheetml/2006/main" count="197" uniqueCount="56">
  <si>
    <t>AT</t>
  </si>
  <si>
    <t>BE</t>
  </si>
  <si>
    <t>total</t>
  </si>
  <si>
    <t>industry</t>
  </si>
  <si>
    <t>household</t>
  </si>
  <si>
    <t>power</t>
  </si>
  <si>
    <t>industry-power</t>
  </si>
  <si>
    <t>BG</t>
  </si>
  <si>
    <t>aggm</t>
  </si>
  <si>
    <t>entsog</t>
  </si>
  <si>
    <t>energy-charts</t>
  </si>
  <si>
    <t>HR</t>
  </si>
  <si>
    <t>CY</t>
  </si>
  <si>
    <t>CZ</t>
  </si>
  <si>
    <t>DK</t>
  </si>
  <si>
    <t>energinet</t>
  </si>
  <si>
    <t>EE</t>
  </si>
  <si>
    <t>FI</t>
  </si>
  <si>
    <t>FR</t>
  </si>
  <si>
    <t>DE</t>
  </si>
  <si>
    <t>GR</t>
  </si>
  <si>
    <t>HU</t>
  </si>
  <si>
    <t>IE</t>
  </si>
  <si>
    <t>IT</t>
  </si>
  <si>
    <t>LV</t>
  </si>
  <si>
    <t>LT</t>
  </si>
  <si>
    <t>LU</t>
  </si>
  <si>
    <t>MT</t>
  </si>
  <si>
    <t>NL</t>
  </si>
  <si>
    <t>PL</t>
  </si>
  <si>
    <t>PT</t>
  </si>
  <si>
    <t>RO</t>
  </si>
  <si>
    <t>SK</t>
  </si>
  <si>
    <t>SI</t>
  </si>
  <si>
    <t>ES</t>
  </si>
  <si>
    <t>SE</t>
  </si>
  <si>
    <t>gas-networks-ireland</t>
  </si>
  <si>
    <t>*check if CBS needed</t>
  </si>
  <si>
    <t>UK</t>
  </si>
  <si>
    <t>national-grid</t>
  </si>
  <si>
    <t>calcuations</t>
  </si>
  <si>
    <t>none</t>
  </si>
  <si>
    <t>sum for total</t>
  </si>
  <si>
    <t>subtract for industry; sum for total</t>
  </si>
  <si>
    <t>calculated</t>
  </si>
  <si>
    <t>grtgaz</t>
  </si>
  <si>
    <t>grtgaz; entsog</t>
  </si>
  <si>
    <t>sum grtgaz and entsog, sum for total</t>
  </si>
  <si>
    <t>trading hub europe</t>
  </si>
  <si>
    <t>note</t>
  </si>
  <si>
    <t>for monthly data we use BNetzA for household and can hence calculate industry demand</t>
  </si>
  <si>
    <t>industry-household</t>
  </si>
  <si>
    <t>enagas</t>
  </si>
  <si>
    <t>eurostat</t>
  </si>
  <si>
    <t>country</t>
  </si>
  <si>
    <t>EU27_2020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</si>
</sst>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C00000"/>
      <name val="Aptos Narrow (Body)"/>
    </font>
    <font>
      <sz val="12"/>
      <color rgb="FFC0000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5" fillId="2" borderId="1" xfId="0" applyFont="1" applyFill="1" applyBorder="1"/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B2BC-7E94-1742-82E2-4355077DD989}">
  <dimension ref="A1:L46"/>
  <sheetViews>
    <sheetView tabSelected="1" zoomScale="112" workbookViewId="0">
      <selection activeCell="G3" sqref="G3"/>
    </sheetView>
  </sheetViews>
  <sheetFormatPr defaultColWidth="11" defaultRowHeight="16"/>
  <cols>
    <col min="3" max="3" width="18.33203125" bestFit="1" customWidth="1"/>
    <col min="4" max="4" width="18.83203125" customWidth="1"/>
    <col min="5" max="5" width="17.75" bestFit="1" customWidth="1"/>
    <col min="6" max="6" width="20" customWidth="1"/>
    <col min="7" max="7" width="16" customWidth="1"/>
    <col min="8" max="8" width="19" customWidth="1"/>
    <col min="9" max="9" width="30.58203125" customWidth="1"/>
  </cols>
  <sheetData>
    <row r="1" spans="1:10">
      <c r="A1" s="7"/>
      <c r="B1" s="7"/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51</v>
      </c>
      <c r="I1" s="7" t="s">
        <v>40</v>
      </c>
      <c r="J1" t="s">
        <v>49</v>
      </c>
    </row>
    <row r="2" spans="1:10">
      <c r="A2" s="8" t="s">
        <v>0</v>
      </c>
      <c r="B2" s="7" t="str">
        <f>VLOOKUP(A2,Sheet2!$A$2:$A$29,1,FALSE)</f>
        <v>AT</v>
      </c>
      <c r="C2" s="3" t="s">
        <v>8</v>
      </c>
      <c r="D2" s="3"/>
      <c r="E2" s="3"/>
      <c r="F2" s="3" t="s">
        <v>10</v>
      </c>
      <c r="G2" s="3"/>
      <c r="H2" s="4" t="s">
        <v>44</v>
      </c>
      <c r="I2" s="3" t="s">
        <v>51</v>
      </c>
    </row>
    <row r="3" spans="1:10">
      <c r="A3" s="7" t="s">
        <v>1</v>
      </c>
      <c r="B3" s="7" t="str">
        <f>VLOOKUP(A3,Sheet2!$A$2:$A$29,1,FALSE)</f>
        <v>BE</v>
      </c>
      <c r="C3" s="4" t="s">
        <v>44</v>
      </c>
      <c r="D3" s="3" t="s">
        <v>9</v>
      </c>
      <c r="E3" s="3" t="s">
        <v>9</v>
      </c>
      <c r="F3" s="3" t="s">
        <v>9</v>
      </c>
      <c r="G3" s="3"/>
      <c r="H3" s="3"/>
      <c r="I3" s="3" t="s">
        <v>42</v>
      </c>
    </row>
    <row r="4" spans="1:10">
      <c r="A4" s="7" t="s">
        <v>7</v>
      </c>
      <c r="B4" s="7" t="str">
        <f>VLOOKUP(A4,Sheet2!$A$2:$A$29,1,FALSE)</f>
        <v>BG</v>
      </c>
      <c r="C4" s="3" t="s">
        <v>9</v>
      </c>
      <c r="D4" s="3"/>
      <c r="E4" s="3"/>
      <c r="F4" s="3" t="s">
        <v>10</v>
      </c>
      <c r="G4" s="3"/>
      <c r="H4" s="5" t="s">
        <v>44</v>
      </c>
      <c r="I4" s="3" t="s">
        <v>51</v>
      </c>
    </row>
    <row r="5" spans="1:10">
      <c r="A5" s="7" t="s">
        <v>11</v>
      </c>
      <c r="B5" s="7" t="str">
        <f>VLOOKUP(A5,Sheet2!$A$2:$A$29,1,FALSE)</f>
        <v>HR</v>
      </c>
      <c r="C5" s="3" t="s">
        <v>9</v>
      </c>
      <c r="D5" s="3"/>
      <c r="E5" s="3"/>
      <c r="F5" s="3" t="s">
        <v>10</v>
      </c>
      <c r="G5" s="3"/>
      <c r="H5" s="5" t="s">
        <v>44</v>
      </c>
      <c r="I5" s="3" t="s">
        <v>51</v>
      </c>
    </row>
    <row r="6" spans="1:10">
      <c r="A6" s="7" t="s">
        <v>13</v>
      </c>
      <c r="B6" s="7" t="str">
        <f>VLOOKUP(A6,Sheet2!$A$2:$A$29,1,FALSE)</f>
        <v>CZ</v>
      </c>
      <c r="C6" s="3" t="s">
        <v>53</v>
      </c>
      <c r="D6" s="3"/>
      <c r="E6" s="3"/>
      <c r="F6" s="3" t="s">
        <v>10</v>
      </c>
      <c r="G6" s="3"/>
      <c r="H6" s="5" t="s">
        <v>44</v>
      </c>
      <c r="I6" s="3" t="s">
        <v>51</v>
      </c>
    </row>
    <row r="7" spans="1:10">
      <c r="A7" s="7" t="s">
        <v>14</v>
      </c>
      <c r="B7" s="7" t="str">
        <f>VLOOKUP(A7,Sheet2!$A$2:$A$29,1,FALSE)</f>
        <v>DK</v>
      </c>
      <c r="C7" s="3" t="s">
        <v>15</v>
      </c>
      <c r="D7" s="3"/>
      <c r="E7" s="3"/>
      <c r="F7" s="3" t="s">
        <v>10</v>
      </c>
      <c r="G7" s="3"/>
      <c r="H7" s="5" t="s">
        <v>44</v>
      </c>
      <c r="I7" s="3" t="s">
        <v>51</v>
      </c>
    </row>
    <row r="8" spans="1:10">
      <c r="A8" s="7" t="s">
        <v>16</v>
      </c>
      <c r="B8" s="7" t="str">
        <f>VLOOKUP(A8,Sheet2!$A$2:$A$29,1,FALSE)</f>
        <v>EE</v>
      </c>
      <c r="C8" s="3" t="s">
        <v>9</v>
      </c>
      <c r="D8" s="3"/>
      <c r="E8" s="3"/>
      <c r="F8" s="3" t="s">
        <v>10</v>
      </c>
      <c r="G8" s="3"/>
      <c r="H8" s="5" t="s">
        <v>44</v>
      </c>
      <c r="I8" s="3" t="s">
        <v>51</v>
      </c>
    </row>
    <row r="9" spans="1:10">
      <c r="A9" s="8" t="s">
        <v>34</v>
      </c>
      <c r="B9" s="7" t="str">
        <f>VLOOKUP(A9,Sheet2!$A$2:$A$29,1,FALSE)</f>
        <v>ES</v>
      </c>
      <c r="C9" s="3" t="s">
        <v>52</v>
      </c>
      <c r="D9" s="3"/>
      <c r="E9" s="3"/>
      <c r="F9" s="3" t="s">
        <v>52</v>
      </c>
      <c r="G9" s="3"/>
      <c r="H9" s="5" t="s">
        <v>44</v>
      </c>
      <c r="I9" s="3" t="s">
        <v>51</v>
      </c>
    </row>
    <row r="10" spans="1:10">
      <c r="A10" s="7" t="s">
        <v>17</v>
      </c>
      <c r="B10" s="7" t="str">
        <f>VLOOKUP(A10,Sheet2!$A$2:$A$29,1,FALSE)</f>
        <v>FI</v>
      </c>
      <c r="C10" s="3" t="s">
        <v>53</v>
      </c>
      <c r="D10" s="3"/>
      <c r="E10" s="3"/>
      <c r="F10" s="3" t="s">
        <v>10</v>
      </c>
      <c r="G10" s="3"/>
      <c r="H10" s="5" t="s">
        <v>44</v>
      </c>
      <c r="I10" s="3" t="s">
        <v>51</v>
      </c>
    </row>
    <row r="11" spans="1:10">
      <c r="A11" s="7" t="s">
        <v>18</v>
      </c>
      <c r="B11" s="7" t="str">
        <f>VLOOKUP(A11,Sheet2!$A$2:$A$29,1,FALSE)</f>
        <v>FR</v>
      </c>
      <c r="C11" s="4" t="s">
        <v>44</v>
      </c>
      <c r="D11" s="3" t="s">
        <v>46</v>
      </c>
      <c r="E11" s="3" t="s">
        <v>46</v>
      </c>
      <c r="F11" s="3" t="s">
        <v>45</v>
      </c>
      <c r="G11" s="3"/>
      <c r="H11" s="3"/>
      <c r="I11" s="3" t="s">
        <v>47</v>
      </c>
    </row>
    <row r="12" spans="1:10">
      <c r="A12" s="9" t="s">
        <v>19</v>
      </c>
      <c r="B12" s="7" t="str">
        <f>VLOOKUP(A12,Sheet2!$A$2:$A$29,1,FALSE)</f>
        <v>DE</v>
      </c>
      <c r="C12" s="3" t="s">
        <v>48</v>
      </c>
      <c r="D12" s="3"/>
      <c r="E12" s="3"/>
      <c r="F12" s="3" t="s">
        <v>10</v>
      </c>
      <c r="G12" s="3"/>
      <c r="H12" s="3"/>
      <c r="I12" s="3"/>
      <c r="J12" t="s">
        <v>50</v>
      </c>
    </row>
    <row r="13" spans="1:10">
      <c r="A13" s="7" t="s">
        <v>20</v>
      </c>
      <c r="B13" s="7" t="str">
        <f>VLOOKUP(A13,Sheet2!$A$2:$A$29,1,FALSE)</f>
        <v>GR</v>
      </c>
      <c r="C13" s="3" t="s">
        <v>53</v>
      </c>
      <c r="D13" s="3"/>
      <c r="E13" s="3"/>
      <c r="F13" s="3" t="s">
        <v>10</v>
      </c>
      <c r="G13" s="3"/>
      <c r="H13" s="5" t="s">
        <v>44</v>
      </c>
      <c r="I13" s="3" t="s">
        <v>51</v>
      </c>
    </row>
    <row r="14" spans="1:10">
      <c r="A14" s="7" t="s">
        <v>21</v>
      </c>
      <c r="B14" s="7" t="str">
        <f>VLOOKUP(A14,Sheet2!$A$2:$A$29,1,FALSE)</f>
        <v>HU</v>
      </c>
      <c r="C14" s="4" t="s">
        <v>44</v>
      </c>
      <c r="D14" s="4" t="s">
        <v>44</v>
      </c>
      <c r="E14" s="3" t="s">
        <v>9</v>
      </c>
      <c r="F14" s="3" t="s">
        <v>10</v>
      </c>
      <c r="G14" s="3" t="s">
        <v>9</v>
      </c>
      <c r="H14" s="3"/>
      <c r="I14" s="3" t="s">
        <v>43</v>
      </c>
    </row>
    <row r="15" spans="1:10">
      <c r="A15" s="7" t="s">
        <v>22</v>
      </c>
      <c r="B15" s="7" t="str">
        <f>VLOOKUP(A15,Sheet2!$A$2:$A$29,1,FALSE)</f>
        <v>IE</v>
      </c>
      <c r="C15" s="3" t="s">
        <v>36</v>
      </c>
      <c r="D15" s="3" t="s">
        <v>36</v>
      </c>
      <c r="E15" s="3" t="s">
        <v>36</v>
      </c>
      <c r="F15" s="3" t="s">
        <v>36</v>
      </c>
      <c r="G15" s="3"/>
      <c r="H15" s="3"/>
      <c r="I15" s="3" t="s">
        <v>41</v>
      </c>
    </row>
    <row r="16" spans="1:10">
      <c r="A16" s="7" t="s">
        <v>23</v>
      </c>
      <c r="B16" s="7" t="str">
        <f>VLOOKUP(A16,Sheet2!$A$2:$A$29,1,FALSE)</f>
        <v>IT</v>
      </c>
      <c r="C16" s="4" t="s">
        <v>44</v>
      </c>
      <c r="D16" s="3" t="s">
        <v>9</v>
      </c>
      <c r="E16" s="3" t="s">
        <v>9</v>
      </c>
      <c r="F16" s="3" t="s">
        <v>9</v>
      </c>
      <c r="G16" s="3"/>
      <c r="H16" s="3"/>
      <c r="I16" s="3" t="s">
        <v>42</v>
      </c>
    </row>
    <row r="17" spans="1:12">
      <c r="A17" s="7" t="s">
        <v>24</v>
      </c>
      <c r="B17" s="7" t="str">
        <f>VLOOKUP(A17,Sheet2!$A$2:$A$29,1,FALSE)</f>
        <v>LV</v>
      </c>
      <c r="C17" s="3" t="s">
        <v>9</v>
      </c>
      <c r="D17" s="3"/>
      <c r="E17" s="3"/>
      <c r="F17" s="3" t="s">
        <v>10</v>
      </c>
      <c r="G17" s="3"/>
      <c r="H17" s="5" t="s">
        <v>44</v>
      </c>
      <c r="I17" s="3" t="s">
        <v>51</v>
      </c>
    </row>
    <row r="18" spans="1:12">
      <c r="A18" s="7" t="s">
        <v>25</v>
      </c>
      <c r="B18" s="7" t="str">
        <f>VLOOKUP(A18,Sheet2!$A$2:$A$29,1,FALSE)</f>
        <v>LT</v>
      </c>
      <c r="C18" s="6" t="s">
        <v>53</v>
      </c>
      <c r="D18" s="3"/>
      <c r="E18" s="3"/>
      <c r="F18" s="3" t="s">
        <v>10</v>
      </c>
      <c r="G18" s="3"/>
      <c r="H18" s="5" t="s">
        <v>44</v>
      </c>
      <c r="I18" s="3" t="s">
        <v>51</v>
      </c>
    </row>
    <row r="19" spans="1:12">
      <c r="A19" s="7" t="s">
        <v>26</v>
      </c>
      <c r="B19" s="7" t="str">
        <f>VLOOKUP(A19,Sheet2!$A$2:$A$29,1,FALSE)</f>
        <v>LU</v>
      </c>
      <c r="C19" s="4" t="s">
        <v>44</v>
      </c>
      <c r="D19" s="4" t="s">
        <v>44</v>
      </c>
      <c r="E19" s="3" t="s">
        <v>9</v>
      </c>
      <c r="F19" s="3" t="s">
        <v>10</v>
      </c>
      <c r="G19" s="3" t="s">
        <v>9</v>
      </c>
      <c r="H19" s="3"/>
      <c r="I19" s="3" t="s">
        <v>43</v>
      </c>
    </row>
    <row r="20" spans="1:12">
      <c r="A20" s="7" t="s">
        <v>28</v>
      </c>
      <c r="B20" s="7" t="str">
        <f>VLOOKUP(A20,Sheet2!$A$2:$A$29,1,FALSE)</f>
        <v>NL</v>
      </c>
      <c r="C20" s="4" t="s">
        <v>44</v>
      </c>
      <c r="D20" s="3" t="s">
        <v>9</v>
      </c>
      <c r="E20" s="3" t="s">
        <v>9</v>
      </c>
      <c r="F20" s="3" t="s">
        <v>9</v>
      </c>
      <c r="G20" s="3"/>
      <c r="H20" s="3"/>
      <c r="I20" s="3" t="s">
        <v>42</v>
      </c>
      <c r="L20" t="s">
        <v>37</v>
      </c>
    </row>
    <row r="21" spans="1:12">
      <c r="A21" s="8" t="s">
        <v>29</v>
      </c>
      <c r="B21" s="7" t="str">
        <f>VLOOKUP(A21,Sheet2!$A$2:$A$29,1,FALSE)</f>
        <v>PL</v>
      </c>
      <c r="C21" s="3" t="s">
        <v>9</v>
      </c>
      <c r="D21" s="3"/>
      <c r="E21" s="3"/>
      <c r="F21" s="3" t="s">
        <v>10</v>
      </c>
      <c r="G21" s="3"/>
      <c r="H21" s="5" t="s">
        <v>44</v>
      </c>
      <c r="I21" s="3" t="s">
        <v>51</v>
      </c>
    </row>
    <row r="22" spans="1:12">
      <c r="A22" s="7" t="s">
        <v>30</v>
      </c>
      <c r="B22" s="7" t="str">
        <f>VLOOKUP(A22,Sheet2!$A$2:$A$29,1,FALSE)</f>
        <v>PT</v>
      </c>
      <c r="C22" s="4" t="s">
        <v>44</v>
      </c>
      <c r="D22" s="4" t="s">
        <v>44</v>
      </c>
      <c r="E22" s="3" t="s">
        <v>9</v>
      </c>
      <c r="F22" s="3" t="s">
        <v>10</v>
      </c>
      <c r="G22" s="3" t="s">
        <v>9</v>
      </c>
      <c r="H22" s="3"/>
      <c r="I22" s="3" t="s">
        <v>43</v>
      </c>
    </row>
    <row r="23" spans="1:12">
      <c r="A23" s="7" t="s">
        <v>31</v>
      </c>
      <c r="B23" s="7" t="str">
        <f>VLOOKUP(A23,Sheet2!$A$2:$A$29,1,FALSE)</f>
        <v>RO</v>
      </c>
      <c r="C23" s="4" t="s">
        <v>44</v>
      </c>
      <c r="D23" s="4" t="s">
        <v>44</v>
      </c>
      <c r="E23" s="3" t="s">
        <v>9</v>
      </c>
      <c r="F23" s="3" t="s">
        <v>10</v>
      </c>
      <c r="G23" s="3" t="s">
        <v>9</v>
      </c>
      <c r="H23" s="3"/>
      <c r="I23" s="3" t="s">
        <v>43</v>
      </c>
    </row>
    <row r="24" spans="1:12">
      <c r="A24" s="7" t="s">
        <v>32</v>
      </c>
      <c r="B24" s="7" t="str">
        <f>VLOOKUP(A24,Sheet2!$A$2:$A$29,1,FALSE)</f>
        <v>SK</v>
      </c>
      <c r="C24" s="6" t="s">
        <v>53</v>
      </c>
      <c r="D24" s="3"/>
      <c r="E24" s="3"/>
      <c r="F24" s="3" t="s">
        <v>10</v>
      </c>
      <c r="G24" s="3"/>
      <c r="H24" s="5" t="s">
        <v>44</v>
      </c>
      <c r="I24" s="3" t="s">
        <v>51</v>
      </c>
    </row>
    <row r="25" spans="1:12">
      <c r="A25" s="7" t="s">
        <v>33</v>
      </c>
      <c r="B25" s="7" t="str">
        <f>VLOOKUP(A25,Sheet2!$A$2:$A$29,1,FALSE)</f>
        <v>SI</v>
      </c>
      <c r="C25" s="3" t="s">
        <v>9</v>
      </c>
      <c r="D25" s="3"/>
      <c r="E25" s="3"/>
      <c r="F25" s="3" t="s">
        <v>10</v>
      </c>
      <c r="G25" s="3"/>
      <c r="H25" s="5" t="s">
        <v>44</v>
      </c>
      <c r="I25" s="3" t="s">
        <v>51</v>
      </c>
    </row>
    <row r="26" spans="1:12">
      <c r="A26" s="7" t="s">
        <v>35</v>
      </c>
      <c r="B26" s="7" t="str">
        <f>VLOOKUP(A26,Sheet2!$A$2:$A$29,1,FALSE)</f>
        <v>SE</v>
      </c>
      <c r="C26" s="6" t="s">
        <v>53</v>
      </c>
      <c r="D26" s="3"/>
      <c r="E26" s="3"/>
      <c r="F26" s="3" t="s">
        <v>10</v>
      </c>
      <c r="G26" s="3"/>
      <c r="H26" s="5" t="s">
        <v>44</v>
      </c>
      <c r="I26" s="3" t="s">
        <v>51</v>
      </c>
    </row>
    <row r="27" spans="1:12">
      <c r="A27" s="7" t="s">
        <v>38</v>
      </c>
      <c r="B27" s="7" t="e">
        <f>VLOOKUP(A27,Sheet2!$A$2:$A$29,1,FALSE)</f>
        <v>#N/A</v>
      </c>
      <c r="C27" s="3" t="s">
        <v>39</v>
      </c>
      <c r="D27" s="3" t="s">
        <v>39</v>
      </c>
      <c r="E27" s="3" t="s">
        <v>39</v>
      </c>
      <c r="F27" s="3" t="s">
        <v>39</v>
      </c>
      <c r="G27" s="3"/>
      <c r="H27" s="3"/>
      <c r="I27" s="3" t="s">
        <v>41</v>
      </c>
    </row>
    <row r="28" spans="1:12">
      <c r="A28" s="1" t="s">
        <v>12</v>
      </c>
      <c r="B28" s="7" t="str">
        <f>VLOOKUP(A28,Sheet2!$A$2:$A$29,1,FALSE)</f>
        <v>CY</v>
      </c>
    </row>
    <row r="29" spans="1:12">
      <c r="A29" s="1" t="s">
        <v>27</v>
      </c>
      <c r="B29" s="7" t="str">
        <f>VLOOKUP(A29,Sheet2!$A$2:$A$29,1,FALSE)</f>
        <v>MT</v>
      </c>
    </row>
    <row r="33" spans="3:4">
      <c r="C33" s="2" t="s">
        <v>1</v>
      </c>
      <c r="D33" t="str">
        <f>VLOOKUP(C33,$A$2:$C$27,2,FALSE)</f>
        <v>BE</v>
      </c>
    </row>
    <row r="34" spans="3:4">
      <c r="C34" s="2" t="s">
        <v>13</v>
      </c>
      <c r="D34" t="str">
        <f t="shared" ref="D34:D46" si="0">VLOOKUP(C34,$A$2:$C$27,2,FALSE)</f>
        <v>CZ</v>
      </c>
    </row>
    <row r="35" spans="3:4">
      <c r="C35" s="2" t="s">
        <v>17</v>
      </c>
      <c r="D35" t="str">
        <f t="shared" si="0"/>
        <v>FI</v>
      </c>
    </row>
    <row r="36" spans="3:4">
      <c r="C36" s="2" t="s">
        <v>20</v>
      </c>
      <c r="D36" t="str">
        <f t="shared" si="0"/>
        <v>GR</v>
      </c>
    </row>
    <row r="37" spans="3:4">
      <c r="C37" s="2" t="s">
        <v>21</v>
      </c>
      <c r="D37" t="str">
        <f t="shared" si="0"/>
        <v>HU</v>
      </c>
    </row>
    <row r="38" spans="3:4">
      <c r="C38" s="2" t="s">
        <v>22</v>
      </c>
      <c r="D38" t="str">
        <f t="shared" si="0"/>
        <v>IE</v>
      </c>
    </row>
    <row r="39" spans="3:4">
      <c r="C39" s="2" t="s">
        <v>23</v>
      </c>
      <c r="D39" t="str">
        <f t="shared" si="0"/>
        <v>IT</v>
      </c>
    </row>
    <row r="40" spans="3:4">
      <c r="C40" s="2" t="s">
        <v>25</v>
      </c>
      <c r="D40" t="str">
        <f t="shared" si="0"/>
        <v>LT</v>
      </c>
    </row>
    <row r="41" spans="3:4">
      <c r="C41" s="2" t="s">
        <v>26</v>
      </c>
      <c r="D41" t="str">
        <f t="shared" si="0"/>
        <v>LU</v>
      </c>
    </row>
    <row r="42" spans="3:4">
      <c r="C42" s="2" t="s">
        <v>28</v>
      </c>
      <c r="D42" t="str">
        <f t="shared" si="0"/>
        <v>NL</v>
      </c>
    </row>
    <row r="43" spans="3:4">
      <c r="C43" s="2" t="s">
        <v>30</v>
      </c>
      <c r="D43" t="str">
        <f t="shared" si="0"/>
        <v>PT</v>
      </c>
    </row>
    <row r="44" spans="3:4">
      <c r="C44" s="2" t="s">
        <v>31</v>
      </c>
      <c r="D44" t="str">
        <f t="shared" si="0"/>
        <v>RO</v>
      </c>
    </row>
    <row r="45" spans="3:4">
      <c r="C45" s="2" t="s">
        <v>35</v>
      </c>
      <c r="D45" t="str">
        <f t="shared" si="0"/>
        <v>SE</v>
      </c>
    </row>
    <row r="46" spans="3:4">
      <c r="C46" s="2" t="s">
        <v>32</v>
      </c>
      <c r="D46" t="str">
        <f t="shared" si="0"/>
        <v>SK</v>
      </c>
    </row>
  </sheetData>
  <autoFilter ref="A1:J29" xr:uid="{2A50B2BC-7E94-1742-82E2-4355077DD98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6D96-AC30-460A-8A74-497B61512CA2}">
  <dimension ref="A1:A29"/>
  <sheetViews>
    <sheetView workbookViewId="0">
      <selection activeCell="B2" sqref="B2"/>
    </sheetView>
  </sheetViews>
  <sheetFormatPr defaultRowHeight="16"/>
  <cols>
    <col min="1" max="1" width="9.9140625" bestFit="1" customWidth="1"/>
  </cols>
  <sheetData>
    <row r="1" spans="1:1">
      <c r="A1" t="s">
        <v>54</v>
      </c>
    </row>
    <row r="2" spans="1:1">
      <c r="A2" t="s">
        <v>0</v>
      </c>
    </row>
    <row r="3" spans="1:1">
      <c r="A3" t="s">
        <v>1</v>
      </c>
    </row>
    <row r="4" spans="1:1">
      <c r="A4" t="s">
        <v>7</v>
      </c>
    </row>
    <row r="5" spans="1:1">
      <c r="A5" t="s">
        <v>12</v>
      </c>
    </row>
    <row r="6" spans="1:1">
      <c r="A6" t="s">
        <v>13</v>
      </c>
    </row>
    <row r="7" spans="1:1">
      <c r="A7" t="s">
        <v>19</v>
      </c>
    </row>
    <row r="8" spans="1:1">
      <c r="A8" t="s">
        <v>14</v>
      </c>
    </row>
    <row r="9" spans="1:1">
      <c r="A9" t="s">
        <v>16</v>
      </c>
    </row>
    <row r="10" spans="1:1">
      <c r="A10" t="s">
        <v>34</v>
      </c>
    </row>
    <row r="11" spans="1:1">
      <c r="A11" t="s">
        <v>55</v>
      </c>
    </row>
    <row r="12" spans="1:1">
      <c r="A12" t="s">
        <v>17</v>
      </c>
    </row>
    <row r="13" spans="1:1">
      <c r="A13" t="s">
        <v>18</v>
      </c>
    </row>
    <row r="14" spans="1:1">
      <c r="A14" t="s">
        <v>20</v>
      </c>
    </row>
    <row r="15" spans="1:1">
      <c r="A15" t="s">
        <v>11</v>
      </c>
    </row>
    <row r="16" spans="1:1">
      <c r="A16" t="s">
        <v>21</v>
      </c>
    </row>
    <row r="17" spans="1:1">
      <c r="A17" t="s">
        <v>22</v>
      </c>
    </row>
    <row r="18" spans="1:1">
      <c r="A18" t="s">
        <v>23</v>
      </c>
    </row>
    <row r="19" spans="1:1">
      <c r="A19" t="s">
        <v>25</v>
      </c>
    </row>
    <row r="20" spans="1:1">
      <c r="A20" t="s">
        <v>26</v>
      </c>
    </row>
    <row r="21" spans="1:1">
      <c r="A21" t="s">
        <v>24</v>
      </c>
    </row>
    <row r="22" spans="1:1">
      <c r="A22" t="s">
        <v>27</v>
      </c>
    </row>
    <row r="23" spans="1:1">
      <c r="A23" t="s">
        <v>28</v>
      </c>
    </row>
    <row r="24" spans="1:1">
      <c r="A24" t="s">
        <v>29</v>
      </c>
    </row>
    <row r="25" spans="1:1">
      <c r="A25" t="s">
        <v>30</v>
      </c>
    </row>
    <row r="26" spans="1:1">
      <c r="A26" t="s">
        <v>31</v>
      </c>
    </row>
    <row r="27" spans="1:1">
      <c r="A27" t="s">
        <v>35</v>
      </c>
    </row>
    <row r="28" spans="1:1">
      <c r="A28" t="s">
        <v>33</v>
      </c>
    </row>
    <row r="29" spans="1:1">
      <c r="A2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McWilliams</dc:creator>
  <cp:lastModifiedBy>Rory Perkins</cp:lastModifiedBy>
  <dcterms:created xsi:type="dcterms:W3CDTF">2025-01-09T11:37:56Z</dcterms:created>
  <dcterms:modified xsi:type="dcterms:W3CDTF">2026-01-13T15:04:49Z</dcterms:modified>
</cp:coreProperties>
</file>